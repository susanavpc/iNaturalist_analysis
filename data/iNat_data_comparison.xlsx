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sanacunha/Documents/PhD/iNat_analysis_clean/data/"/>
    </mc:Choice>
  </mc:AlternateContent>
  <xr:revisionPtr revIDLastSave="0" documentId="13_ncr:1_{BECB1DFB-9925-5442-AEA6-788F9C941FA6}" xr6:coauthVersionLast="47" xr6:coauthVersionMax="47" xr10:uidLastSave="{00000000-0000-0000-0000-000000000000}"/>
  <bookViews>
    <workbookView xWindow="-8160" yWindow="-21000" windowWidth="38400" windowHeight="21000" xr2:uid="{4941AD39-BC8E-484C-BCA5-3AF58B923FA9}"/>
  </bookViews>
  <sheets>
    <sheet name="Sheet1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5" i="1" l="1"/>
  <c r="J3" i="1"/>
  <c r="J4" i="1"/>
  <c r="J5" i="1"/>
  <c r="J2" i="1"/>
  <c r="I3" i="1"/>
  <c r="I4" i="1"/>
  <c r="I5" i="1"/>
  <c r="I2" i="1"/>
  <c r="H5" i="1"/>
  <c r="H4" i="1"/>
  <c r="H3" i="1"/>
  <c r="H2" i="1"/>
</calcChain>
</file>

<file path=xl/sharedStrings.xml><?xml version="1.0" encoding="utf-8"?>
<sst xmlns="http://schemas.openxmlformats.org/spreadsheetml/2006/main" count="39" uniqueCount="31">
  <si>
    <t>Vertebrates</t>
  </si>
  <si>
    <t>Invertebrates</t>
  </si>
  <si>
    <t>Plants</t>
  </si>
  <si>
    <t>Fungi</t>
  </si>
  <si>
    <t>https://www.inaturalist.org/observations?created_d2=2024-06-24&amp;subview=map&amp;verifiable=any&amp;iconic_taxa=Actinopterygii,Aves,Amphibia,Reptilia,Mammalia</t>
  </si>
  <si>
    <t>https://www.inaturalist.org/observations?created_d2=2024-06-24&amp;subview=map&amp;verifiable=any&amp;iconic_taxa=Insecta,Arachnida,Mollusca</t>
  </si>
  <si>
    <t>https://www.inaturalist.org/observations?created_d2=2024-06-24&amp;subview=map&amp;verifiable=any&amp;iconic_taxa=Plantae</t>
  </si>
  <si>
    <t>https://www.inaturalist.org/observations?created_d2=2024-06-24&amp;subview=map&amp;verifiable=any&amp;iconic_taxa=Fungi</t>
  </si>
  <si>
    <t>https://www.iucnredlist.org/resources/summary-statistics</t>
  </si>
  <si>
    <t>RG</t>
  </si>
  <si>
    <t>Casual</t>
  </si>
  <si>
    <t>NeedsID</t>
  </si>
  <si>
    <t>Number of species:</t>
  </si>
  <si>
    <t>https://www.speciesfungorum.org/names/names.asp</t>
  </si>
  <si>
    <t>group</t>
  </si>
  <si>
    <t>global_n_obs_iNat</t>
  </si>
  <si>
    <t>global_n_species_iNat</t>
  </si>
  <si>
    <t>global iNaturalist data:</t>
  </si>
  <si>
    <t>european iNaturalist data:</t>
  </si>
  <si>
    <t>https://www.inaturalist.org/observations?created_d2=2024-06-24&amp;iconic_taxa=Actinopterygii,Aves,Amphibia,Reptilia,Mammalia&amp;place_id=97391&amp;subview=map&amp;verifiable=any</t>
  </si>
  <si>
    <t>global_n_species_described</t>
  </si>
  <si>
    <t>europe_n_obs_iNat</t>
  </si>
  <si>
    <t>https://www.inaturalist.org/observations?created_d2=2024-06-24&amp;iconic_taxa=Insecta,Arachnida,Mollusca&amp;place_id=97391&amp;subview=map&amp;verifiable=any</t>
  </si>
  <si>
    <t>https://www.inaturalist.org/observations?created_d2=2024-06-24&amp;iconic_taxa=Plantae&amp;place_id=97391&amp;subview=map&amp;verifiable=any</t>
  </si>
  <si>
    <t>https://www.inaturalist.org/observations?created_d2=2024-06-24&amp;iconic_taxa=Fungi&amp;place_id=97391&amp;subview=map&amp;verifiable=any</t>
  </si>
  <si>
    <t>Date of data retrival: 24/08/2026</t>
  </si>
  <si>
    <t>RG/Verifiable</t>
  </si>
  <si>
    <t>RG/all</t>
  </si>
  <si>
    <t>global_verifiable</t>
  </si>
  <si>
    <t>global_RG</t>
  </si>
  <si>
    <t>RG/verifiable_global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</si>
</sst>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2"/>
    <xf numFmtId="2" fontId="0" fillId="0" borderId="0" xfId="0" applyNumberFormat="1"/>
    <xf numFmtId="1" fontId="0" fillId="0" borderId="0" xfId="0" applyNumberFormat="1"/>
    <xf numFmtId="1" fontId="0" fillId="0" borderId="0" xfId="1" applyNumberFormat="1" applyFont="1"/>
    <xf numFmtId="49" fontId="0" fillId="0" borderId="0" xfId="0" applyNumberFormat="1"/>
    <xf numFmtId="3" fontId="0" fillId="0" borderId="0" xfId="0" applyNumberForma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aturalist.org/observations?created_d2=2024-06-24&amp;subview=map&amp;verifiable=any&amp;iconic_taxa=Plantae" TargetMode="External"/><Relationship Id="rId2" Type="http://schemas.openxmlformats.org/officeDocument/2006/relationships/hyperlink" Target="https://www.inaturalist.org/observations?created_d2=2024-06-24&amp;subview=map&amp;verifiable=any&amp;iconic_taxa=Insecta,Arachnida,Mollusca" TargetMode="External"/><Relationship Id="rId1" Type="http://schemas.openxmlformats.org/officeDocument/2006/relationships/hyperlink" Target="https://www.inaturalist.org/observations?created_d2=2024-06-24&amp;subview=map&amp;verifiable=any&amp;iconic_taxa=Actinopterygii,Aves,Amphibia,Reptilia,Mammal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2C8B3-EC9E-9448-BAE6-0C581C8619DE}">
  <dimension ref="A1:M34"/>
  <sheetViews>
    <sheetView tabSelected="1" zoomScale="150" zoomScaleNormal="100" workbookViewId="0">
      <selection activeCell="K17" sqref="K17"/>
    </sheetView>
  </sheetViews>
  <sheetFormatPr baseColWidth="10" defaultRowHeight="16" x14ac:dyDescent="0.2"/>
  <cols>
    <col min="1" max="1" width="15.83203125" customWidth="1"/>
    <col min="2" max="2" width="22.83203125" customWidth="1"/>
    <col min="3" max="3" width="21" customWidth="1"/>
    <col min="4" max="4" width="19.5" customWidth="1"/>
    <col min="5" max="5" width="22.83203125" customWidth="1"/>
    <col min="6" max="7" width="14" bestFit="1" customWidth="1"/>
    <col min="8" max="8" width="11.6640625" bestFit="1" customWidth="1"/>
  </cols>
  <sheetData>
    <row r="1" spans="1:13" x14ac:dyDescent="0.2">
      <c r="A1" s="3" t="s">
        <v>14</v>
      </c>
      <c r="B1" s="3" t="s">
        <v>20</v>
      </c>
      <c r="C1" s="3" t="s">
        <v>16</v>
      </c>
      <c r="D1" s="3" t="s">
        <v>15</v>
      </c>
      <c r="E1" s="3" t="s">
        <v>21</v>
      </c>
      <c r="F1" s="3" t="s">
        <v>9</v>
      </c>
      <c r="G1" s="3" t="s">
        <v>11</v>
      </c>
      <c r="H1" s="3" t="s">
        <v>10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</row>
    <row r="2" spans="1:13" x14ac:dyDescent="0.2">
      <c r="A2" s="3" t="s">
        <v>0</v>
      </c>
      <c r="B2" s="3">
        <v>77312</v>
      </c>
      <c r="C2" s="4">
        <v>46402</v>
      </c>
      <c r="D2" s="4">
        <v>43294361</v>
      </c>
      <c r="E2" s="3">
        <v>6931084</v>
      </c>
      <c r="F2" s="4">
        <v>5708976</v>
      </c>
      <c r="G2" s="4">
        <v>344868</v>
      </c>
      <c r="H2" s="3">
        <f>E2-(F2+G2)</f>
        <v>877240</v>
      </c>
      <c r="I2">
        <f>F2/(F2+G2)</f>
        <v>0.94303321988475419</v>
      </c>
      <c r="J2">
        <f>F2/(F2+G2+H2)</f>
        <v>0.82367721989807074</v>
      </c>
    </row>
    <row r="3" spans="1:13" x14ac:dyDescent="0.2">
      <c r="A3" s="3" t="s">
        <v>1</v>
      </c>
      <c r="B3" s="3">
        <v>1457195</v>
      </c>
      <c r="C3" s="4">
        <v>243331</v>
      </c>
      <c r="D3" s="4">
        <v>60556422</v>
      </c>
      <c r="E3" s="3">
        <v>13524933</v>
      </c>
      <c r="F3" s="4">
        <v>8954108</v>
      </c>
      <c r="G3" s="4">
        <v>4227801</v>
      </c>
      <c r="H3" s="3">
        <f>E3-(F3+G3)</f>
        <v>343024</v>
      </c>
      <c r="I3">
        <f t="shared" ref="I3:I5" si="0">F3/(F3+G3)</f>
        <v>0.67927247866754348</v>
      </c>
      <c r="J3">
        <f t="shared" ref="J3:J5" si="1">F3/(F3+G3+H3)</f>
        <v>0.6620445365607357</v>
      </c>
    </row>
    <row r="4" spans="1:13" x14ac:dyDescent="0.2">
      <c r="A4" s="3" t="s">
        <v>2</v>
      </c>
      <c r="B4" s="3">
        <v>424003</v>
      </c>
      <c r="C4" s="4">
        <v>170927</v>
      </c>
      <c r="D4" s="4">
        <v>90668535</v>
      </c>
      <c r="E4" s="3">
        <v>18182187</v>
      </c>
      <c r="F4" s="4">
        <v>11796356</v>
      </c>
      <c r="G4" s="4">
        <v>4517529</v>
      </c>
      <c r="H4" s="3">
        <f>E4-(F4+G4)</f>
        <v>1868302</v>
      </c>
      <c r="I4">
        <f t="shared" si="0"/>
        <v>0.72308686741386252</v>
      </c>
      <c r="J4">
        <f t="shared" si="1"/>
        <v>0.64878641936748316</v>
      </c>
      <c r="K4" s="2"/>
    </row>
    <row r="5" spans="1:13" x14ac:dyDescent="0.2">
      <c r="A5" s="3" t="s">
        <v>3</v>
      </c>
      <c r="B5" s="3">
        <v>206711</v>
      </c>
      <c r="C5" s="4">
        <v>28687</v>
      </c>
      <c r="D5" s="4">
        <v>12247457</v>
      </c>
      <c r="E5" s="3">
        <v>2522319</v>
      </c>
      <c r="F5" s="4">
        <v>1095851</v>
      </c>
      <c r="G5" s="4">
        <v>1390639</v>
      </c>
      <c r="H5" s="3">
        <f>E5-(F5+G5)</f>
        <v>35829</v>
      </c>
      <c r="I5">
        <f t="shared" si="0"/>
        <v>0.44072206202317321</v>
      </c>
      <c r="J5">
        <f t="shared" si="1"/>
        <v>0.43446169972949494</v>
      </c>
      <c r="K5">
        <v>21142713</v>
      </c>
      <c r="L5">
        <v>6109070</v>
      </c>
      <c r="M5">
        <f>L5/K5</f>
        <v>0.2889444698984468</v>
      </c>
    </row>
    <row r="6" spans="1:13" x14ac:dyDescent="0.2">
      <c r="A6" s="3"/>
      <c r="B6" s="3"/>
      <c r="C6" s="3"/>
      <c r="D6" s="3"/>
      <c r="E6" s="3"/>
      <c r="F6" s="3"/>
      <c r="G6" s="3"/>
      <c r="H6" s="3"/>
    </row>
    <row r="7" spans="1:13" x14ac:dyDescent="0.2">
      <c r="F7" s="6"/>
      <c r="G7" s="3"/>
      <c r="H7" s="3"/>
      <c r="I7" s="6"/>
    </row>
    <row r="31" spans="6:6" x14ac:dyDescent="0.2">
      <c r="F31" s="5"/>
    </row>
    <row r="32" spans="6:6" x14ac:dyDescent="0.2">
      <c r="F32" s="5"/>
    </row>
    <row r="33" spans="6:6" x14ac:dyDescent="0.2">
      <c r="F33" s="5"/>
    </row>
    <row r="34" spans="6:6" x14ac:dyDescent="0.2">
      <c r="F3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CE8CD-0538-494C-9821-77FAD7DB6A0F}">
  <dimension ref="A1:B19"/>
  <sheetViews>
    <sheetView workbookViewId="0">
      <selection activeCell="A15" sqref="A15"/>
    </sheetView>
  </sheetViews>
  <sheetFormatPr baseColWidth="10" defaultRowHeight="16" x14ac:dyDescent="0.2"/>
  <sheetData>
    <row r="1" spans="1:2" x14ac:dyDescent="0.2">
      <c r="A1" t="s">
        <v>17</v>
      </c>
    </row>
    <row r="2" spans="1:2" x14ac:dyDescent="0.2">
      <c r="A2" t="s">
        <v>0</v>
      </c>
      <c r="B2" s="1" t="s">
        <v>4</v>
      </c>
    </row>
    <row r="3" spans="1:2" x14ac:dyDescent="0.2">
      <c r="A3" t="s">
        <v>1</v>
      </c>
      <c r="B3" s="1" t="s">
        <v>5</v>
      </c>
    </row>
    <row r="4" spans="1:2" x14ac:dyDescent="0.2">
      <c r="A4" t="s">
        <v>2</v>
      </c>
      <c r="B4" s="1" t="s">
        <v>6</v>
      </c>
    </row>
    <row r="5" spans="1:2" x14ac:dyDescent="0.2">
      <c r="A5" t="s">
        <v>3</v>
      </c>
      <c r="B5" t="s">
        <v>7</v>
      </c>
    </row>
    <row r="6" spans="1:2" ht="17" customHeight="1" x14ac:dyDescent="0.2"/>
    <row r="7" spans="1:2" ht="17" customHeight="1" x14ac:dyDescent="0.2">
      <c r="A7" t="s">
        <v>18</v>
      </c>
    </row>
    <row r="8" spans="1:2" ht="17" customHeight="1" x14ac:dyDescent="0.2">
      <c r="A8" t="s">
        <v>0</v>
      </c>
      <c r="B8" t="s">
        <v>19</v>
      </c>
    </row>
    <row r="9" spans="1:2" ht="17" customHeight="1" x14ac:dyDescent="0.2">
      <c r="A9" t="s">
        <v>1</v>
      </c>
      <c r="B9" t="s">
        <v>22</v>
      </c>
    </row>
    <row r="10" spans="1:2" ht="17" customHeight="1" x14ac:dyDescent="0.2">
      <c r="A10" t="s">
        <v>2</v>
      </c>
      <c r="B10" t="s">
        <v>23</v>
      </c>
    </row>
    <row r="11" spans="1:2" ht="17" customHeight="1" x14ac:dyDescent="0.2">
      <c r="A11" t="s">
        <v>3</v>
      </c>
      <c r="B11" t="s">
        <v>24</v>
      </c>
    </row>
    <row r="14" spans="1:2" x14ac:dyDescent="0.2">
      <c r="A14" t="s">
        <v>12</v>
      </c>
    </row>
    <row r="15" spans="1:2" x14ac:dyDescent="0.2">
      <c r="A15" t="s">
        <v>8</v>
      </c>
    </row>
    <row r="16" spans="1:2" x14ac:dyDescent="0.2">
      <c r="A16" t="s">
        <v>13</v>
      </c>
    </row>
    <row r="19" spans="1:1" x14ac:dyDescent="0.2">
      <c r="A19" t="s">
        <v>25</v>
      </c>
    </row>
  </sheetData>
  <hyperlinks>
    <hyperlink ref="B2" r:id="rId1" xr:uid="{40DD980C-CCC6-E146-9EF5-D1F2A12B2284}"/>
    <hyperlink ref="B3" r:id="rId2" xr:uid="{74CC8F52-3936-9246-97A5-23E6CF387F59}"/>
    <hyperlink ref="B4" r:id="rId3" xr:uid="{24F19ED4-7486-FD42-9D34-B3E12BF06E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2014197379</dc:creator>
  <cp:lastModifiedBy>2014197379</cp:lastModifiedBy>
  <dcterms:created xsi:type="dcterms:W3CDTF">2026-08-21T09:07:28Z</dcterms:created>
  <dcterms:modified xsi:type="dcterms:W3CDTF">2026-08-25T15:46:37Z</dcterms:modified>
</cp:coreProperties>
</file>