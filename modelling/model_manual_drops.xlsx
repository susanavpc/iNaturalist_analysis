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sanacunha/Documents/PhD/iNat_analysis_clean/modelling/"/>
    </mc:Choice>
  </mc:AlternateContent>
  <xr:revisionPtr revIDLastSave="0" documentId="13_ncr:1_{EE681C6E-D7AD-C74B-A027-4F40B3183BCC}" xr6:coauthVersionLast="47" xr6:coauthVersionMax="47" xr10:uidLastSave="{00000000-0000-0000-0000-000000000000}"/>
  <bookViews>
    <workbookView xWindow="-38400" yWindow="500" windowWidth="38400" windowHeight="21100" xr2:uid="{7C728923-D501-ED44-A77E-3B510BEF037C}"/>
  </bookViews>
  <sheets>
    <sheet name="drop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2" l="1"/>
  <c r="D45" i="2"/>
  <c r="D44" i="2"/>
  <c r="D43" i="2"/>
  <c r="D42" i="2"/>
  <c r="D41" i="2"/>
  <c r="D34" i="2"/>
  <c r="D33" i="2"/>
  <c r="D32" i="2"/>
  <c r="D31" i="2"/>
  <c r="D30" i="2"/>
  <c r="D29" i="2"/>
  <c r="G21" i="2"/>
  <c r="G18" i="2"/>
  <c r="D18" i="2"/>
  <c r="C18" i="2"/>
  <c r="G17" i="2"/>
  <c r="D17" i="2"/>
  <c r="C17" i="2"/>
  <c r="G14" i="2"/>
  <c r="D14" i="2"/>
  <c r="C14" i="2"/>
  <c r="G13" i="2"/>
  <c r="D13" i="2"/>
  <c r="C13" i="2"/>
  <c r="G12" i="2"/>
  <c r="D12" i="2"/>
  <c r="C12" i="2"/>
  <c r="G9" i="2"/>
  <c r="D9" i="2"/>
  <c r="C9" i="2"/>
  <c r="G8" i="2"/>
  <c r="D8" i="2"/>
  <c r="C8" i="2"/>
  <c r="G7" i="2"/>
  <c r="D7" i="2"/>
  <c r="C7" i="2"/>
  <c r="G6" i="2"/>
  <c r="D6" i="2"/>
  <c r="C6" i="2"/>
  <c r="G5" i="2"/>
  <c r="D5" i="2"/>
</calcChain>
</file>

<file path=xl/sharedStrings.xml><?xml version="1.0" encoding="utf-8"?>
<sst xmlns="http://schemas.openxmlformats.org/spreadsheetml/2006/main" count="41" uniqueCount="30">
  <si>
    <t>AIC</t>
  </si>
  <si>
    <t>comparison to full</t>
  </si>
  <si>
    <t>comparison to best</t>
  </si>
  <si>
    <t>fit_proj</t>
  </si>
  <si>
    <t>fit_obsf</t>
  </si>
  <si>
    <t>fit_tags</t>
  </si>
  <si>
    <t>fit_notes</t>
  </si>
  <si>
    <t>fit_full</t>
  </si>
  <si>
    <t>fit_obsf_proj</t>
  </si>
  <si>
    <t xml:space="preserve">fit_obsf_tags </t>
  </si>
  <si>
    <t>fit_obsf_notes</t>
  </si>
  <si>
    <t xml:space="preserve"> comparison to fit_obsf</t>
  </si>
  <si>
    <t>fit_obsf_notes_proj</t>
  </si>
  <si>
    <t>fit_obsf_notes_tags</t>
  </si>
  <si>
    <t xml:space="preserve"> comparison to fit_obsf_notes</t>
  </si>
  <si>
    <t>fit_obsf_proj_notes_tags</t>
  </si>
  <si>
    <t>comparison to overall best fit_obsf_notes_proj</t>
  </si>
  <si>
    <t>drop1(fit_obsf_notes_proj)</t>
  </si>
  <si>
    <t>Df</t>
  </si>
  <si>
    <t>&lt;none&gt;</t>
  </si>
  <si>
    <t>log_ysu</t>
  </si>
  <si>
    <t>Nph</t>
  </si>
  <si>
    <t>Ntags:n_info_no_tags</t>
  </si>
  <si>
    <t>presence_projects:n_info_no_proj</t>
  </si>
  <si>
    <t>presence_obs_fields:n_info_no_obsf</t>
  </si>
  <si>
    <t>presence_notes:n_info_no_notes</t>
  </si>
  <si>
    <t>Ntags</t>
  </si>
  <si>
    <t>drop 1 for no tags interaction</t>
  </si>
  <si>
    <t>#simpler model with lower AIC</t>
  </si>
  <si>
    <t>Full model: fit_full &lt;- glmmTMB(rg ~ log_ysu + Nph + Nproj + Nobsf + Ntags + Nnotes +  n_info_no_proj:Nproj + n_info_no_obsf:Nobsf+ n_info_no_tags:Ntags + n_info_no_notes:Nnotes + (1|observed_on_month) +(1|species) + (1|genus),  data = data_30_test_month, family="binomial", na.action ="na.fail")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</si>
</sst>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76E15-DBD7-154D-983E-8B8BF2820004}">
  <dimension ref="A2:G46"/>
  <sheetViews>
    <sheetView tabSelected="1" workbookViewId="0">
      <selection activeCell="Q5" sqref="Q5"/>
    </sheetView>
  </sheetViews>
  <sheetFormatPr baseColWidth="10" defaultRowHeight="16" x14ac:dyDescent="0.2"/>
  <cols>
    <col min="1" max="1" width="28" customWidth="1"/>
    <col min="3" max="3" width="27.33203125" customWidth="1"/>
  </cols>
  <sheetData>
    <row r="2" spans="1:7" x14ac:dyDescent="0.2">
      <c r="A2" t="s">
        <v>29</v>
      </c>
    </row>
    <row r="4" spans="1:7" x14ac:dyDescent="0.2">
      <c r="B4" s="1" t="s">
        <v>0</v>
      </c>
      <c r="C4" t="s">
        <v>1</v>
      </c>
      <c r="D4" t="s">
        <v>2</v>
      </c>
      <c r="G4" t="s">
        <v>16</v>
      </c>
    </row>
    <row r="5" spans="1:7" x14ac:dyDescent="0.2">
      <c r="A5" t="s">
        <v>7</v>
      </c>
      <c r="B5">
        <v>1460264</v>
      </c>
      <c r="D5" s="3">
        <f>B5-$B$7</f>
        <v>1044</v>
      </c>
      <c r="G5" s="3">
        <f>B5-$B$17</f>
        <v>2054</v>
      </c>
    </row>
    <row r="6" spans="1:7" x14ac:dyDescent="0.2">
      <c r="A6" t="s">
        <v>3</v>
      </c>
      <c r="B6">
        <v>1459784</v>
      </c>
      <c r="C6" s="3">
        <f xml:space="preserve"> B6 - $B$5</f>
        <v>-480</v>
      </c>
      <c r="D6" s="3">
        <f t="shared" ref="D6:D9" si="0">B6-$B$7</f>
        <v>564</v>
      </c>
      <c r="G6" s="3">
        <f t="shared" ref="G6:G21" si="1">B6-$B$17</f>
        <v>1574</v>
      </c>
    </row>
    <row r="7" spans="1:7" x14ac:dyDescent="0.2">
      <c r="A7" s="2" t="s">
        <v>4</v>
      </c>
      <c r="B7">
        <v>1459220</v>
      </c>
      <c r="C7" s="4">
        <f xml:space="preserve"> B7 - $B$5</f>
        <v>-1044</v>
      </c>
      <c r="D7" s="3">
        <f t="shared" si="0"/>
        <v>0</v>
      </c>
      <c r="G7" s="3">
        <f t="shared" si="1"/>
        <v>1010</v>
      </c>
    </row>
    <row r="8" spans="1:7" x14ac:dyDescent="0.2">
      <c r="A8" t="s">
        <v>5</v>
      </c>
      <c r="B8">
        <v>1460331</v>
      </c>
      <c r="C8" s="3">
        <f xml:space="preserve"> B8 - $B$5</f>
        <v>67</v>
      </c>
      <c r="D8" s="3">
        <f t="shared" si="0"/>
        <v>1111</v>
      </c>
      <c r="G8" s="3">
        <f t="shared" si="1"/>
        <v>2121</v>
      </c>
    </row>
    <row r="9" spans="1:7" x14ac:dyDescent="0.2">
      <c r="A9" t="s">
        <v>6</v>
      </c>
      <c r="B9">
        <v>1459633</v>
      </c>
      <c r="C9" s="3">
        <f xml:space="preserve"> B9 - $B$5</f>
        <v>-631</v>
      </c>
      <c r="D9" s="3">
        <f t="shared" si="0"/>
        <v>413</v>
      </c>
      <c r="G9" s="3">
        <f t="shared" si="1"/>
        <v>1423</v>
      </c>
    </row>
    <row r="10" spans="1:7" x14ac:dyDescent="0.2">
      <c r="G10" s="3"/>
    </row>
    <row r="11" spans="1:7" x14ac:dyDescent="0.2">
      <c r="C11" t="s">
        <v>11</v>
      </c>
      <c r="D11" t="s">
        <v>2</v>
      </c>
      <c r="G11" s="3"/>
    </row>
    <row r="12" spans="1:7" x14ac:dyDescent="0.2">
      <c r="A12" t="s">
        <v>8</v>
      </c>
      <c r="B12">
        <v>1458850</v>
      </c>
      <c r="C12" s="3">
        <f>B12-$B$7</f>
        <v>-370</v>
      </c>
      <c r="D12" s="3">
        <f>B12-$B$14</f>
        <v>267</v>
      </c>
      <c r="G12" s="3">
        <f t="shared" si="1"/>
        <v>640</v>
      </c>
    </row>
    <row r="13" spans="1:7" x14ac:dyDescent="0.2">
      <c r="A13" t="s">
        <v>9</v>
      </c>
      <c r="B13">
        <v>1459323</v>
      </c>
      <c r="C13" s="3">
        <f>B13-$B$7</f>
        <v>103</v>
      </c>
      <c r="D13" s="3">
        <f t="shared" ref="D13:D14" si="2">B13-$B$14</f>
        <v>740</v>
      </c>
      <c r="G13" s="3">
        <f t="shared" si="1"/>
        <v>1113</v>
      </c>
    </row>
    <row r="14" spans="1:7" x14ac:dyDescent="0.2">
      <c r="A14" s="2" t="s">
        <v>10</v>
      </c>
      <c r="B14">
        <v>1458583</v>
      </c>
      <c r="C14" s="4">
        <f>B14-$B$7</f>
        <v>-637</v>
      </c>
      <c r="D14" s="3">
        <f t="shared" si="2"/>
        <v>0</v>
      </c>
      <c r="G14" s="3">
        <f t="shared" si="1"/>
        <v>373</v>
      </c>
    </row>
    <row r="15" spans="1:7" x14ac:dyDescent="0.2">
      <c r="G15" s="3"/>
    </row>
    <row r="16" spans="1:7" x14ac:dyDescent="0.2">
      <c r="C16" t="s">
        <v>14</v>
      </c>
      <c r="D16" t="s">
        <v>2</v>
      </c>
      <c r="G16" s="3"/>
    </row>
    <row r="17" spans="1:7" x14ac:dyDescent="0.2">
      <c r="A17" s="5" t="s">
        <v>12</v>
      </c>
      <c r="B17">
        <v>1458210</v>
      </c>
      <c r="C17" s="4">
        <f>B17-$B$14</f>
        <v>-373</v>
      </c>
      <c r="D17" s="1">
        <f>B17-$B$17</f>
        <v>0</v>
      </c>
      <c r="G17" s="3">
        <f t="shared" si="1"/>
        <v>0</v>
      </c>
    </row>
    <row r="18" spans="1:7" x14ac:dyDescent="0.2">
      <c r="A18" t="s">
        <v>13</v>
      </c>
      <c r="B18">
        <v>1458679</v>
      </c>
      <c r="C18" s="3">
        <f>B18-$B$14</f>
        <v>96</v>
      </c>
      <c r="D18" s="1">
        <f>B18-$B$17</f>
        <v>469</v>
      </c>
      <c r="G18" s="3">
        <f t="shared" si="1"/>
        <v>469</v>
      </c>
    </row>
    <row r="19" spans="1:7" x14ac:dyDescent="0.2">
      <c r="G19" s="3"/>
    </row>
    <row r="20" spans="1:7" x14ac:dyDescent="0.2">
      <c r="G20" s="3"/>
    </row>
    <row r="21" spans="1:7" x14ac:dyDescent="0.2">
      <c r="A21" t="s">
        <v>15</v>
      </c>
      <c r="B21">
        <v>1458312</v>
      </c>
      <c r="G21" s="3">
        <f t="shared" si="1"/>
        <v>102</v>
      </c>
    </row>
    <row r="25" spans="1:7" x14ac:dyDescent="0.2">
      <c r="A25" t="s">
        <v>17</v>
      </c>
    </row>
    <row r="27" spans="1:7" x14ac:dyDescent="0.2">
      <c r="B27" t="s">
        <v>18</v>
      </c>
      <c r="C27" t="s">
        <v>0</v>
      </c>
    </row>
    <row r="28" spans="1:7" x14ac:dyDescent="0.2">
      <c r="A28" t="s">
        <v>19</v>
      </c>
      <c r="C28">
        <v>1458210</v>
      </c>
    </row>
    <row r="29" spans="1:7" x14ac:dyDescent="0.2">
      <c r="A29" t="s">
        <v>20</v>
      </c>
      <c r="B29">
        <v>1</v>
      </c>
      <c r="C29">
        <v>1483228</v>
      </c>
      <c r="D29">
        <f>C29-$C$28</f>
        <v>25018</v>
      </c>
    </row>
    <row r="30" spans="1:7" x14ac:dyDescent="0.2">
      <c r="A30" t="s">
        <v>21</v>
      </c>
      <c r="B30">
        <v>5</v>
      </c>
      <c r="C30">
        <v>1460894</v>
      </c>
      <c r="D30">
        <f t="shared" ref="D30:D34" si="3">C30-$C$28</f>
        <v>2684</v>
      </c>
    </row>
    <row r="31" spans="1:7" x14ac:dyDescent="0.2">
      <c r="A31" s="5" t="s">
        <v>22</v>
      </c>
      <c r="B31" s="5">
        <v>1</v>
      </c>
      <c r="C31" s="5">
        <v>1458209</v>
      </c>
      <c r="D31" s="5">
        <f t="shared" si="3"/>
        <v>-1</v>
      </c>
      <c r="E31" t="s">
        <v>28</v>
      </c>
    </row>
    <row r="32" spans="1:7" x14ac:dyDescent="0.2">
      <c r="A32" t="s">
        <v>23</v>
      </c>
      <c r="B32">
        <v>1</v>
      </c>
      <c r="C32">
        <v>1458291</v>
      </c>
      <c r="D32">
        <f t="shared" si="3"/>
        <v>81</v>
      </c>
    </row>
    <row r="33" spans="1:4" x14ac:dyDescent="0.2">
      <c r="A33" t="s">
        <v>24</v>
      </c>
      <c r="B33">
        <v>1</v>
      </c>
      <c r="C33">
        <v>1458371</v>
      </c>
      <c r="D33">
        <f t="shared" si="3"/>
        <v>161</v>
      </c>
    </row>
    <row r="34" spans="1:4" x14ac:dyDescent="0.2">
      <c r="A34" t="s">
        <v>25</v>
      </c>
      <c r="B34">
        <v>1</v>
      </c>
      <c r="C34">
        <v>1458706</v>
      </c>
      <c r="D34">
        <f t="shared" si="3"/>
        <v>496</v>
      </c>
    </row>
    <row r="38" spans="1:4" x14ac:dyDescent="0.2">
      <c r="A38" t="s">
        <v>27</v>
      </c>
    </row>
    <row r="39" spans="1:4" x14ac:dyDescent="0.2">
      <c r="B39" t="s">
        <v>18</v>
      </c>
      <c r="C39" t="s">
        <v>0</v>
      </c>
    </row>
    <row r="40" spans="1:4" x14ac:dyDescent="0.2">
      <c r="A40" t="s">
        <v>19</v>
      </c>
      <c r="C40">
        <v>1458209</v>
      </c>
    </row>
    <row r="41" spans="1:4" x14ac:dyDescent="0.2">
      <c r="A41" t="s">
        <v>20</v>
      </c>
      <c r="B41">
        <v>1</v>
      </c>
      <c r="C41">
        <v>1483227</v>
      </c>
      <c r="D41">
        <f t="shared" ref="D41:D46" si="4">C41-$C$40</f>
        <v>25018</v>
      </c>
    </row>
    <row r="42" spans="1:4" x14ac:dyDescent="0.2">
      <c r="A42" t="s">
        <v>21</v>
      </c>
      <c r="B42">
        <v>5</v>
      </c>
      <c r="C42">
        <v>1460892</v>
      </c>
      <c r="D42">
        <f t="shared" si="4"/>
        <v>2683</v>
      </c>
    </row>
    <row r="43" spans="1:4" x14ac:dyDescent="0.2">
      <c r="A43" t="s">
        <v>26</v>
      </c>
      <c r="B43">
        <v>1</v>
      </c>
      <c r="C43">
        <v>1458487</v>
      </c>
      <c r="D43">
        <f t="shared" si="4"/>
        <v>278</v>
      </c>
    </row>
    <row r="44" spans="1:4" x14ac:dyDescent="0.2">
      <c r="A44" t="s">
        <v>25</v>
      </c>
      <c r="B44">
        <v>1</v>
      </c>
      <c r="C44">
        <v>1458738</v>
      </c>
      <c r="D44">
        <f t="shared" si="4"/>
        <v>529</v>
      </c>
    </row>
    <row r="45" spans="1:4" x14ac:dyDescent="0.2">
      <c r="A45" t="s">
        <v>24</v>
      </c>
      <c r="B45">
        <v>1</v>
      </c>
      <c r="C45">
        <v>1458375</v>
      </c>
      <c r="D45">
        <f t="shared" si="4"/>
        <v>166</v>
      </c>
    </row>
    <row r="46" spans="1:4" x14ac:dyDescent="0.2">
      <c r="A46" t="s">
        <v>23</v>
      </c>
      <c r="B46">
        <v>1</v>
      </c>
      <c r="C46">
        <v>1458292</v>
      </c>
      <c r="D46">
        <f t="shared" si="4"/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2014197379</dc:creator>
  <cp:lastModifiedBy>2014197379</cp:lastModifiedBy>
  <dcterms:created xsi:type="dcterms:W3CDTF">2025-06-03T10:03:48Z</dcterms:created>
  <dcterms:modified xsi:type="dcterms:W3CDTF">2025-06-18T17:11:37Z</dcterms:modified>
</cp:coreProperties>
</file>