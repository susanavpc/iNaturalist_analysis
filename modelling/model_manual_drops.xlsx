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acunha/Documents/PhD/iNat_analysis_clean/modelling/"/>
    </mc:Choice>
  </mc:AlternateContent>
  <xr:revisionPtr revIDLastSave="0" documentId="13_ncr:1_{314B532D-6303-1F4A-A17C-B43EFBFD479E}" xr6:coauthVersionLast="47" xr6:coauthVersionMax="47" xr10:uidLastSave="{00000000-0000-0000-0000-000000000000}"/>
  <bookViews>
    <workbookView xWindow="0" yWindow="500" windowWidth="25600" windowHeight="14280" activeTab="3" xr2:uid="{7C728923-D501-ED44-A77E-3B510BEF037C}"/>
  </bookViews>
  <sheets>
    <sheet name="drops" sheetId="2" r:id="rId1"/>
    <sheet name="table manual drops" sheetId="5" r:id="rId2"/>
    <sheet name="table drop1s" sheetId="6" r:id="rId3"/>
    <sheet name="table var bin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43" i="2"/>
  <c r="D4" i="5"/>
  <c r="D5" i="5"/>
  <c r="D6" i="5"/>
  <c r="D7" i="5"/>
  <c r="D8" i="5"/>
  <c r="D9" i="5"/>
  <c r="D10" i="5"/>
  <c r="D11" i="5"/>
  <c r="D12" i="5"/>
  <c r="D3" i="5"/>
  <c r="D46" i="2"/>
  <c r="D45" i="2"/>
  <c r="D44" i="2"/>
  <c r="D42" i="2"/>
  <c r="D41" i="2"/>
  <c r="D34" i="2"/>
  <c r="D33" i="2"/>
  <c r="D32" i="2"/>
  <c r="D31" i="2"/>
  <c r="D30" i="2"/>
  <c r="D29" i="2"/>
  <c r="G21" i="2"/>
  <c r="G18" i="2"/>
  <c r="D18" i="2"/>
  <c r="C18" i="2"/>
  <c r="G17" i="2"/>
  <c r="D17" i="2"/>
  <c r="C17" i="2"/>
  <c r="G14" i="2"/>
  <c r="D14" i="2"/>
  <c r="C14" i="2"/>
  <c r="G13" i="2"/>
  <c r="D13" i="2"/>
  <c r="C13" i="2"/>
  <c r="G12" i="2"/>
  <c r="D12" i="2"/>
  <c r="C12" i="2"/>
  <c r="G9" i="2"/>
  <c r="D9" i="2"/>
  <c r="C9" i="2"/>
  <c r="G8" i="2"/>
  <c r="D8" i="2"/>
  <c r="C8" i="2"/>
  <c r="G7" i="2"/>
  <c r="D7" i="2"/>
  <c r="C7" i="2"/>
  <c r="G6" i="2"/>
  <c r="D6" i="2"/>
  <c r="C6" i="2"/>
  <c r="G5" i="2"/>
  <c r="D5" i="2"/>
</calcChain>
</file>

<file path=xl/sharedStrings.xml><?xml version="1.0" encoding="utf-8"?>
<sst xmlns="http://schemas.openxmlformats.org/spreadsheetml/2006/main" count="116" uniqueCount="94">
  <si>
    <t>AIC</t>
  </si>
  <si>
    <t>comparison to full</t>
  </si>
  <si>
    <t>comparison to best</t>
  </si>
  <si>
    <t>fit_proj</t>
  </si>
  <si>
    <t>fit_obsf</t>
  </si>
  <si>
    <t>fit_tags</t>
  </si>
  <si>
    <t>fit_notes</t>
  </si>
  <si>
    <t>fit_full</t>
  </si>
  <si>
    <t>fit_obsf_proj</t>
  </si>
  <si>
    <t xml:space="preserve">fit_obsf_tags </t>
  </si>
  <si>
    <t>fit_obsf_notes</t>
  </si>
  <si>
    <t xml:space="preserve"> comparison to fit_obsf</t>
  </si>
  <si>
    <t>fit_obsf_notes_proj</t>
  </si>
  <si>
    <t>fit_obsf_notes_tags</t>
  </si>
  <si>
    <t xml:space="preserve"> comparison to fit_obsf_notes</t>
  </si>
  <si>
    <t>fit_obsf_proj_notes_tags</t>
  </si>
  <si>
    <t>comparison to overall best fit_obsf_notes_proj</t>
  </si>
  <si>
    <t>drop1(fit_obsf_notes_proj)</t>
  </si>
  <si>
    <t>Df</t>
  </si>
  <si>
    <t>&lt;none&gt;</t>
  </si>
  <si>
    <t>log_ysu</t>
  </si>
  <si>
    <t>Nph</t>
  </si>
  <si>
    <t>Ntags:n_info_no_tags</t>
  </si>
  <si>
    <t>presence_projects:n_info_no_proj</t>
  </si>
  <si>
    <t>presence_obs_fields:n_info_no_obsf</t>
  </si>
  <si>
    <t>presence_notes:n_info_no_notes</t>
  </si>
  <si>
    <t>Ntags</t>
  </si>
  <si>
    <t>drop 1 for no tags interaction</t>
  </si>
  <si>
    <t>#simpler model with lower AIC</t>
  </si>
  <si>
    <t>Full model: fit_full &lt;- glmmTMB(rg ~ log_ysu + Nph + Nproj + Nobsf + Ntags + Nnotes +  n_info_no_proj:Nproj + n_info_no_obsf:Nobsf+ n_info_no_tags:Ntags + n_info_no_notes:Nnotes + (1|observed_on_month) +(1|species) + (1|genus),  data = data_30_test_month, family="binomial", na.action ="na.fail")</t>
  </si>
  <si>
    <t>Model</t>
  </si>
  <si>
    <t>deltaAIC</t>
  </si>
  <si>
    <t>Y + NPh + NPr + NO + NT + PN + NE:NPr + NE:NO + NE:NT + NE:PN + (1|M) + (1|S) + (1|G)</t>
  </si>
  <si>
    <t>Y + NPh + PPr + NO + NT + LN + NE:PPr + NE:NO + NE:NT + NE:LN + (1|M) + (1|S) + (1|G)</t>
  </si>
  <si>
    <t>Y + NPh + NPr + NO + NT + LN + NE:NPr + NE:NO + NE:NT + NE:LN + (1|M) + (1|S) + (1|G)</t>
  </si>
  <si>
    <t>Y + NPh + NPr + NO + PT + LN + NE:NPr + NE:NO + NE:PT + NE:LN + (1|M) + (1|S) + (1|G)</t>
  </si>
  <si>
    <t>Y + NPh + PPr + PO + NT + PN + NE:PPr + NE:PO + NE:NT + NE:PN + (1|M) + (1|S) + (1|G)</t>
  </si>
  <si>
    <t>Y + NPh + PPr + PO + PT + PN + NE:PPr + NE:PO + NE:PT+ NE:PN + (1|M) + (1|S) + (1|G)</t>
  </si>
  <si>
    <t>Y + NPh + NPr + PO + NT + PN + NE:NPr + NE:PO + NE:NT + NE:PN + (1|M) + (1|S) + (1|G)</t>
  </si>
  <si>
    <t>Y + NPh + NPr + PO + PT + PN + NE:NPr + NE:PO + NE:PT + NE:PN + (1|M) + (1|S) + (1|G)</t>
  </si>
  <si>
    <t>Y + NPh + PPr + PO + NT + LN + NE:PPr + NE:PO + NE:NT + NE:LN + (1|M) + (1|S) + (1|G)</t>
  </si>
  <si>
    <t>Y + NPh + NPr + PO + NT + LN + NE:NPr + NE:PO + NE:NT + NE:LN + (1|M) + (1|S) + (1|G)</t>
  </si>
  <si>
    <t>Y + NPh + NPr + PO + PT + LN + NE:NPr + NE:PO + NE:PT + NE:LN + (1|M) + (1|S) + (1|G)</t>
  </si>
  <si>
    <t>NPh + PPr + PO + NT + PN + NE:PPr + NE:PO + NE:NT + NE:PN + (1|M) + (1|S) + (1|G)</t>
  </si>
  <si>
    <t>Y + PPr + PO + NT + PN + NE:PPr + NE:PO + NE:NT + NE:PN + (1|M) + (1|S) + (1|G)</t>
  </si>
  <si>
    <t>Y + NPh + PPr + PO + NT + PN + NE:PPr + NE:PO + NE:PN + (1|M) + (1|S) + (1|G)</t>
  </si>
  <si>
    <t>Y + NPh + PPr + PO + NT + PN + NE:PO + NE:NT + NE:PN + (1|M) + (1|S) + (1|G)</t>
  </si>
  <si>
    <t>Y + NPh + PPr + PO + NT + PN + NE:PPr + NE:NT + NE:PN + (1|M) + (1|S) + (1|G)</t>
  </si>
  <si>
    <t>NPh + PPr + PO + NT + PN + NE:PPr + NE:PO + NE:PN + (1|M) + (1|S) + (1|G)</t>
  </si>
  <si>
    <t>Y + PPr + PO + NT + PN + NE:PPr + NE:PO + NE:PN + (1|M) + (1|S) + (1|G)</t>
  </si>
  <si>
    <t>Y + NPh + PPr + PO + PN + NE:PPr + NE:PO + NE:PN + (1|M) + (1|S) + (1|G)</t>
  </si>
  <si>
    <t>Y + NPh + PPr + PO + NT + PN + NE:PPr + NE:PO + (1|M) + (1|S) + (1|G)</t>
  </si>
  <si>
    <t>Y + NPh + PPr + PO + NT + PN + NE:PPr + NE:PN + (1|M) + (1|S) + (1|G)</t>
  </si>
  <si>
    <t>Y + NPh + PPr + PO + NT + PN + NE:PO + NE:PN + (1|M) + (1|S) + (1|G)</t>
  </si>
  <si>
    <t xml:space="preserve">                                    labels=c("1","2","3","4","5-10", "&gt;10")),</t>
  </si>
  <si>
    <t xml:space="preserve">                projects_binned = cut(n_projects, breaks = c(-Inf, 0,1,2,3,4,10,Inf), </t>
  </si>
  <si>
    <t xml:space="preserve">                                      labels=c("0","1","2","3","4","5-10", "&gt;10")),</t>
  </si>
  <si>
    <t xml:space="preserve">                obsf_binned = cut(n_obs_fields, breaks = c(-Inf, 0,1,2,3,4,10,Inf), </t>
  </si>
  <si>
    <t xml:space="preserve">                                  labels=c("0","1","2","3","4","5-10", "&gt;10")),</t>
  </si>
  <si>
    <t xml:space="preserve">                notes_binned = cut(length_notes, breaks = c(-Inf, 0, 25, 50,100, 300, Inf), </t>
  </si>
  <si>
    <t xml:space="preserve">                                   labels=c("0", "1-25", "26-50", "51-100", "101-300", "&gt;300")),</t>
  </si>
  <si>
    <t xml:space="preserve">                tags_binned = cut(n_tags, breaks = c(-Inf,0,1,2,5,10,30,Inf), </t>
  </si>
  <si>
    <t xml:space="preserve">                                  labels=c("0","1","2","3-5","6-10","11-30", "&gt;30")),</t>
  </si>
  <si>
    <t># quantile(df %&gt;% filter(length_notes&gt;0) %&gt;% pull(length_notes), c(0.5,0.75, 0.9, 0.95, 0.99,1))</t>
  </si>
  <si>
    <t># ecdf(df %&gt;% filter(length_notes&gt;0) %&gt;% pull(length_notes)) (c(25, 50,100, 300, Inf))</t>
  </si>
  <si>
    <t xml:space="preserve"># # </t>
  </si>
  <si>
    <t># quantile(df %&gt;% filter(n_tags&gt;1) %&gt;% pull(n_tags), c(0.5,0.75, 0.9, 0.95, 0.99,1))</t>
  </si>
  <si>
    <t># ecdf(df %&gt;% filter(n_tags&gt;1) %&gt;% pull(n_tags)) (c(1,2,5,10,30,Inf))</t>
  </si>
  <si>
    <t xml:space="preserve"># </t>
  </si>
  <si>
    <t># quantile(df %&gt;% filter(n_obs_fields&gt;1) %&gt;% pull(n_obs_fields), c(0.5,0.75, 0.9, 0.95, 0.99,1))</t>
  </si>
  <si>
    <t># ecdf(df %&gt;% filter(n_obs_fields&gt;1) %&gt;% pull(n_obs_fields)) (c(1,2,3,4,10,Inf))</t>
  </si>
  <si>
    <t># quantile(df %&gt;% filter(n_projects&gt;1) %&gt;% pull(n_projects), c(0.5,0.75, 0.9, 0.95, 0.99,1))</t>
  </si>
  <si>
    <t># ecdf(df %&gt;% filter(n_projects&gt;1) %&gt;% pull(n_projects)) (c(1,2,3,4,10,Inf))</t>
  </si>
  <si>
    <t># quantile(df %&gt;% pull(n_photos), c(0,0.5,0.75, 0.9, 0.95, 0.99,1))</t>
  </si>
  <si>
    <t># ecdf(df %&gt;% pull(n_photos)) (c(1,2,3,4,10,Inf))</t>
  </si>
  <si>
    <t>photos</t>
  </si>
  <si>
    <t>photos_binned = cut(n_photos, breaks = c(0,1,2,3,4,10,Inf)</t>
  </si>
  <si>
    <t xml:space="preserve"> "&gt;10"</t>
  </si>
  <si>
    <t>"5-10"</t>
  </si>
  <si>
    <t>projects</t>
  </si>
  <si>
    <t>obsf</t>
  </si>
  <si>
    <t xml:space="preserve"> "1-25"</t>
  </si>
  <si>
    <t xml:space="preserve"> "26-50"</t>
  </si>
  <si>
    <t xml:space="preserve"> "51-100"</t>
  </si>
  <si>
    <t xml:space="preserve"> "101-300"</t>
  </si>
  <si>
    <t xml:space="preserve"> "&gt;300"</t>
  </si>
  <si>
    <t xml:space="preserve"> "&gt;10</t>
  </si>
  <si>
    <t>notes</t>
  </si>
  <si>
    <t>tags</t>
  </si>
  <si>
    <t xml:space="preserve"> "&gt;30"</t>
  </si>
  <si>
    <t>"3-5"</t>
  </si>
  <si>
    <t>"6-10"</t>
  </si>
  <si>
    <t>"11-30"</t>
  </si>
  <si>
    <t>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</si>
</sst>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1" fillId="0" borderId="0" xfId="0" applyFont="1" applyAlignment="1">
      <alignment vertical="center"/>
    </xf>
    <xf numFmtId="0" fontId="2" fillId="0" borderId="0" xfId="0" applyFont="1"/>
    <xf numFmtId="16" fontId="0" fillId="0" borderId="0" xfId="0" applyNumberFormat="1"/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6E15-DBD7-154D-983E-8B8BF2820004}">
  <dimension ref="A2:G46"/>
  <sheetViews>
    <sheetView topLeftCell="A3" workbookViewId="0">
      <selection activeCell="G42" sqref="G42"/>
    </sheetView>
  </sheetViews>
  <sheetFormatPr baseColWidth="10" defaultRowHeight="16" x14ac:dyDescent="0.2"/>
  <cols>
    <col min="1" max="1" width="28" customWidth="1"/>
    <col min="3" max="3" width="27.33203125" customWidth="1"/>
  </cols>
  <sheetData>
    <row r="2" spans="1:7" x14ac:dyDescent="0.2">
      <c r="A2" t="s">
        <v>29</v>
      </c>
    </row>
    <row r="4" spans="1:7" x14ac:dyDescent="0.2">
      <c r="B4" s="1" t="s">
        <v>0</v>
      </c>
      <c r="C4" t="s">
        <v>1</v>
      </c>
      <c r="D4" t="s">
        <v>2</v>
      </c>
      <c r="G4" t="s">
        <v>16</v>
      </c>
    </row>
    <row r="5" spans="1:7" x14ac:dyDescent="0.2">
      <c r="A5" t="s">
        <v>7</v>
      </c>
      <c r="B5">
        <v>1460264</v>
      </c>
      <c r="D5" s="3">
        <f>B5-$B$7</f>
        <v>1044</v>
      </c>
      <c r="G5" s="3">
        <f>B5-$B$17</f>
        <v>2054</v>
      </c>
    </row>
    <row r="6" spans="1:7" x14ac:dyDescent="0.2">
      <c r="A6" t="s">
        <v>3</v>
      </c>
      <c r="B6">
        <v>1459784</v>
      </c>
      <c r="C6" s="3">
        <f xml:space="preserve"> B6 - $B$5</f>
        <v>-480</v>
      </c>
      <c r="D6" s="3">
        <f t="shared" ref="D6:D9" si="0">B6-$B$7</f>
        <v>564</v>
      </c>
      <c r="G6" s="3">
        <f t="shared" ref="G6:G21" si="1">B6-$B$17</f>
        <v>1574</v>
      </c>
    </row>
    <row r="7" spans="1:7" x14ac:dyDescent="0.2">
      <c r="A7" s="2" t="s">
        <v>4</v>
      </c>
      <c r="B7">
        <v>1459220</v>
      </c>
      <c r="C7" s="4">
        <f xml:space="preserve"> B7 - $B$5</f>
        <v>-1044</v>
      </c>
      <c r="D7" s="3">
        <f t="shared" si="0"/>
        <v>0</v>
      </c>
      <c r="G7" s="3">
        <f t="shared" si="1"/>
        <v>1010</v>
      </c>
    </row>
    <row r="8" spans="1:7" x14ac:dyDescent="0.2">
      <c r="A8" t="s">
        <v>5</v>
      </c>
      <c r="B8">
        <v>1460331</v>
      </c>
      <c r="C8" s="3">
        <f xml:space="preserve"> B8 - $B$5</f>
        <v>67</v>
      </c>
      <c r="D8" s="3">
        <f t="shared" si="0"/>
        <v>1111</v>
      </c>
      <c r="G8" s="3">
        <f t="shared" si="1"/>
        <v>2121</v>
      </c>
    </row>
    <row r="9" spans="1:7" x14ac:dyDescent="0.2">
      <c r="A9" t="s">
        <v>6</v>
      </c>
      <c r="B9">
        <v>1459633</v>
      </c>
      <c r="C9" s="3">
        <f xml:space="preserve"> B9 - $B$5</f>
        <v>-631</v>
      </c>
      <c r="D9" s="3">
        <f t="shared" si="0"/>
        <v>413</v>
      </c>
      <c r="G9" s="3">
        <f t="shared" si="1"/>
        <v>1423</v>
      </c>
    </row>
    <row r="10" spans="1:7" x14ac:dyDescent="0.2">
      <c r="G10" s="3"/>
    </row>
    <row r="11" spans="1:7" x14ac:dyDescent="0.2">
      <c r="C11" t="s">
        <v>11</v>
      </c>
      <c r="D11" t="s">
        <v>2</v>
      </c>
      <c r="G11" s="3"/>
    </row>
    <row r="12" spans="1:7" x14ac:dyDescent="0.2">
      <c r="A12" t="s">
        <v>8</v>
      </c>
      <c r="B12">
        <v>1458850</v>
      </c>
      <c r="C12" s="3">
        <f>B12-$B$7</f>
        <v>-370</v>
      </c>
      <c r="D12" s="3">
        <f>B12-$B$14</f>
        <v>267</v>
      </c>
      <c r="G12" s="3">
        <f t="shared" si="1"/>
        <v>640</v>
      </c>
    </row>
    <row r="13" spans="1:7" x14ac:dyDescent="0.2">
      <c r="A13" t="s">
        <v>9</v>
      </c>
      <c r="B13">
        <v>1459323</v>
      </c>
      <c r="C13" s="3">
        <f>B13-$B$7</f>
        <v>103</v>
      </c>
      <c r="D13" s="3">
        <f t="shared" ref="D13:D14" si="2">B13-$B$14</f>
        <v>740</v>
      </c>
      <c r="G13" s="3">
        <f t="shared" si="1"/>
        <v>1113</v>
      </c>
    </row>
    <row r="14" spans="1:7" x14ac:dyDescent="0.2">
      <c r="A14" s="2" t="s">
        <v>10</v>
      </c>
      <c r="B14">
        <v>1458583</v>
      </c>
      <c r="C14" s="4">
        <f>B14-$B$7</f>
        <v>-637</v>
      </c>
      <c r="D14" s="3">
        <f t="shared" si="2"/>
        <v>0</v>
      </c>
      <c r="G14" s="3">
        <f t="shared" si="1"/>
        <v>373</v>
      </c>
    </row>
    <row r="15" spans="1:7" x14ac:dyDescent="0.2">
      <c r="G15" s="3"/>
    </row>
    <row r="16" spans="1:7" x14ac:dyDescent="0.2">
      <c r="C16" t="s">
        <v>14</v>
      </c>
      <c r="D16" t="s">
        <v>2</v>
      </c>
      <c r="G16" s="3"/>
    </row>
    <row r="17" spans="1:7" x14ac:dyDescent="0.2">
      <c r="A17" s="5" t="s">
        <v>12</v>
      </c>
      <c r="B17">
        <v>1458210</v>
      </c>
      <c r="C17" s="4">
        <f>B17-$B$14</f>
        <v>-373</v>
      </c>
      <c r="D17" s="1">
        <f>B17-$B$17</f>
        <v>0</v>
      </c>
      <c r="G17" s="3">
        <f t="shared" si="1"/>
        <v>0</v>
      </c>
    </row>
    <row r="18" spans="1:7" x14ac:dyDescent="0.2">
      <c r="A18" t="s">
        <v>13</v>
      </c>
      <c r="B18">
        <v>1458679</v>
      </c>
      <c r="C18" s="3">
        <f>B18-$B$14</f>
        <v>96</v>
      </c>
      <c r="D18" s="1">
        <f>B18-$B$17</f>
        <v>469</v>
      </c>
      <c r="G18" s="3">
        <f t="shared" si="1"/>
        <v>469</v>
      </c>
    </row>
    <row r="19" spans="1:7" x14ac:dyDescent="0.2">
      <c r="G19" s="3"/>
    </row>
    <row r="20" spans="1:7" x14ac:dyDescent="0.2">
      <c r="G20" s="3"/>
    </row>
    <row r="21" spans="1:7" x14ac:dyDescent="0.2">
      <c r="A21" t="s">
        <v>15</v>
      </c>
      <c r="B21">
        <v>1458312</v>
      </c>
      <c r="G21" s="3">
        <f t="shared" si="1"/>
        <v>102</v>
      </c>
    </row>
    <row r="25" spans="1:7" x14ac:dyDescent="0.2">
      <c r="A25" t="s">
        <v>17</v>
      </c>
    </row>
    <row r="27" spans="1:7" x14ac:dyDescent="0.2">
      <c r="B27" t="s">
        <v>18</v>
      </c>
      <c r="C27" t="s">
        <v>0</v>
      </c>
    </row>
    <row r="28" spans="1:7" x14ac:dyDescent="0.2">
      <c r="A28" t="s">
        <v>19</v>
      </c>
      <c r="C28">
        <v>1458210</v>
      </c>
    </row>
    <row r="29" spans="1:7" x14ac:dyDescent="0.2">
      <c r="A29" t="s">
        <v>20</v>
      </c>
      <c r="B29">
        <v>1</v>
      </c>
      <c r="C29">
        <v>1483228</v>
      </c>
      <c r="D29">
        <f>C29-$C$28</f>
        <v>25018</v>
      </c>
    </row>
    <row r="30" spans="1:7" x14ac:dyDescent="0.2">
      <c r="A30" t="s">
        <v>21</v>
      </c>
      <c r="B30">
        <v>5</v>
      </c>
      <c r="C30">
        <v>1460894</v>
      </c>
      <c r="D30">
        <f t="shared" ref="D30:D34" si="3">C30-$C$28</f>
        <v>2684</v>
      </c>
    </row>
    <row r="31" spans="1:7" x14ac:dyDescent="0.2">
      <c r="A31" s="5" t="s">
        <v>22</v>
      </c>
      <c r="B31" s="5">
        <v>1</v>
      </c>
      <c r="C31" s="5">
        <v>1458209</v>
      </c>
      <c r="D31" s="5">
        <f t="shared" si="3"/>
        <v>-1</v>
      </c>
      <c r="E31" t="s">
        <v>28</v>
      </c>
    </row>
    <row r="32" spans="1:7" x14ac:dyDescent="0.2">
      <c r="A32" t="s">
        <v>23</v>
      </c>
      <c r="B32">
        <v>1</v>
      </c>
      <c r="C32">
        <v>1458291</v>
      </c>
      <c r="D32">
        <f t="shared" si="3"/>
        <v>81</v>
      </c>
    </row>
    <row r="33" spans="1:4" x14ac:dyDescent="0.2">
      <c r="A33" t="s">
        <v>24</v>
      </c>
      <c r="B33">
        <v>1</v>
      </c>
      <c r="C33">
        <v>1458371</v>
      </c>
      <c r="D33">
        <f t="shared" si="3"/>
        <v>161</v>
      </c>
    </row>
    <row r="34" spans="1:4" x14ac:dyDescent="0.2">
      <c r="A34" t="s">
        <v>25</v>
      </c>
      <c r="B34">
        <v>1</v>
      </c>
      <c r="C34">
        <v>1458706</v>
      </c>
      <c r="D34">
        <f t="shared" si="3"/>
        <v>496</v>
      </c>
    </row>
    <row r="38" spans="1:4" x14ac:dyDescent="0.2">
      <c r="A38" t="s">
        <v>27</v>
      </c>
    </row>
    <row r="39" spans="1:4" x14ac:dyDescent="0.2">
      <c r="B39" t="s">
        <v>18</v>
      </c>
      <c r="C39" t="s">
        <v>0</v>
      </c>
    </row>
    <row r="40" spans="1:4" x14ac:dyDescent="0.2">
      <c r="A40" t="s">
        <v>19</v>
      </c>
      <c r="C40">
        <v>1458209</v>
      </c>
    </row>
    <row r="41" spans="1:4" x14ac:dyDescent="0.2">
      <c r="A41" t="s">
        <v>20</v>
      </c>
      <c r="B41">
        <v>1</v>
      </c>
      <c r="C41">
        <v>1483227</v>
      </c>
      <c r="D41">
        <f t="shared" ref="D41:D46" si="4">C41-$C$40</f>
        <v>25018</v>
      </c>
    </row>
    <row r="42" spans="1:4" x14ac:dyDescent="0.2">
      <c r="A42" t="s">
        <v>21</v>
      </c>
      <c r="B42">
        <v>5</v>
      </c>
      <c r="C42">
        <v>1460892</v>
      </c>
      <c r="D42">
        <f t="shared" si="4"/>
        <v>2683</v>
      </c>
    </row>
    <row r="43" spans="1:4" x14ac:dyDescent="0.2">
      <c r="A43" t="s">
        <v>26</v>
      </c>
      <c r="B43">
        <v>1</v>
      </c>
      <c r="C43">
        <v>1458487</v>
      </c>
      <c r="D43">
        <f>C43-$C$40</f>
        <v>278</v>
      </c>
    </row>
    <row r="44" spans="1:4" x14ac:dyDescent="0.2">
      <c r="A44" t="s">
        <v>25</v>
      </c>
      <c r="B44">
        <v>1</v>
      </c>
      <c r="C44">
        <v>1458738</v>
      </c>
      <c r="D44">
        <f t="shared" si="4"/>
        <v>529</v>
      </c>
    </row>
    <row r="45" spans="1:4" x14ac:dyDescent="0.2">
      <c r="A45" t="s">
        <v>24</v>
      </c>
      <c r="B45">
        <v>1</v>
      </c>
      <c r="C45">
        <v>1458375</v>
      </c>
      <c r="D45">
        <f t="shared" si="4"/>
        <v>166</v>
      </c>
    </row>
    <row r="46" spans="1:4" x14ac:dyDescent="0.2">
      <c r="A46" t="s">
        <v>23</v>
      </c>
      <c r="B46">
        <v>1</v>
      </c>
      <c r="C46">
        <v>1458292</v>
      </c>
      <c r="D46">
        <f t="shared" si="4"/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32AD-86ED-7944-ADD2-322213DCF5C8}">
  <dimension ref="A1:D34"/>
  <sheetViews>
    <sheetView workbookViewId="0">
      <selection activeCell="F22" sqref="F22"/>
    </sheetView>
  </sheetViews>
  <sheetFormatPr baseColWidth="10" defaultRowHeight="16" x14ac:dyDescent="0.2"/>
  <cols>
    <col min="2" max="2" width="81.5" customWidth="1"/>
    <col min="3" max="3" width="15.5" customWidth="1"/>
  </cols>
  <sheetData>
    <row r="1" spans="1:4" x14ac:dyDescent="0.2">
      <c r="B1" t="s">
        <v>30</v>
      </c>
      <c r="C1" t="s">
        <v>0</v>
      </c>
      <c r="D1" t="s">
        <v>31</v>
      </c>
    </row>
    <row r="2" spans="1:4" x14ac:dyDescent="0.2">
      <c r="A2">
        <v>1</v>
      </c>
      <c r="B2" t="s">
        <v>36</v>
      </c>
      <c r="C2">
        <v>1458210</v>
      </c>
    </row>
    <row r="3" spans="1:4" x14ac:dyDescent="0.2">
      <c r="A3">
        <v>2</v>
      </c>
      <c r="B3" t="s">
        <v>37</v>
      </c>
      <c r="C3">
        <v>1458312</v>
      </c>
      <c r="D3">
        <f>C3-$C$2</f>
        <v>102</v>
      </c>
    </row>
    <row r="4" spans="1:4" x14ac:dyDescent="0.2">
      <c r="A4">
        <v>3</v>
      </c>
      <c r="B4" t="s">
        <v>38</v>
      </c>
      <c r="C4">
        <v>1458583</v>
      </c>
      <c r="D4">
        <f t="shared" ref="D4:D12" si="0">C4-$C$2</f>
        <v>373</v>
      </c>
    </row>
    <row r="5" spans="1:4" x14ac:dyDescent="0.2">
      <c r="A5">
        <v>4</v>
      </c>
      <c r="B5" t="s">
        <v>39</v>
      </c>
      <c r="C5">
        <v>1458679</v>
      </c>
      <c r="D5">
        <f t="shared" si="0"/>
        <v>469</v>
      </c>
    </row>
    <row r="6" spans="1:4" x14ac:dyDescent="0.2">
      <c r="A6">
        <v>5</v>
      </c>
      <c r="B6" t="s">
        <v>40</v>
      </c>
      <c r="C6">
        <v>1458850</v>
      </c>
      <c r="D6">
        <f t="shared" si="0"/>
        <v>640</v>
      </c>
    </row>
    <row r="7" spans="1:4" x14ac:dyDescent="0.2">
      <c r="A7">
        <v>6</v>
      </c>
      <c r="B7" t="s">
        <v>41</v>
      </c>
      <c r="C7">
        <v>1459220</v>
      </c>
      <c r="D7">
        <f t="shared" si="0"/>
        <v>1010</v>
      </c>
    </row>
    <row r="8" spans="1:4" x14ac:dyDescent="0.2">
      <c r="A8">
        <v>7</v>
      </c>
      <c r="B8" t="s">
        <v>42</v>
      </c>
      <c r="C8">
        <v>1459323</v>
      </c>
      <c r="D8">
        <f t="shared" si="0"/>
        <v>1113</v>
      </c>
    </row>
    <row r="9" spans="1:4" x14ac:dyDescent="0.2">
      <c r="A9">
        <v>8</v>
      </c>
      <c r="B9" t="s">
        <v>32</v>
      </c>
      <c r="C9">
        <v>1459633</v>
      </c>
      <c r="D9">
        <f t="shared" si="0"/>
        <v>1423</v>
      </c>
    </row>
    <row r="10" spans="1:4" x14ac:dyDescent="0.2">
      <c r="A10">
        <v>9</v>
      </c>
      <c r="B10" t="s">
        <v>33</v>
      </c>
      <c r="C10">
        <v>1459784</v>
      </c>
      <c r="D10">
        <f t="shared" si="0"/>
        <v>1574</v>
      </c>
    </row>
    <row r="11" spans="1:4" x14ac:dyDescent="0.2">
      <c r="A11">
        <v>10</v>
      </c>
      <c r="B11" s="6" t="s">
        <v>34</v>
      </c>
      <c r="C11">
        <v>1460264</v>
      </c>
      <c r="D11">
        <f t="shared" si="0"/>
        <v>2054</v>
      </c>
    </row>
    <row r="12" spans="1:4" x14ac:dyDescent="0.2">
      <c r="A12">
        <v>11</v>
      </c>
      <c r="B12" t="s">
        <v>35</v>
      </c>
      <c r="C12">
        <v>1460331</v>
      </c>
      <c r="D12">
        <f t="shared" si="0"/>
        <v>2121</v>
      </c>
    </row>
    <row r="25" spans="2:2" x14ac:dyDescent="0.2">
      <c r="B25" s="7"/>
    </row>
    <row r="27" spans="2:2" x14ac:dyDescent="0.2">
      <c r="B27" s="7"/>
    </row>
    <row r="31" spans="2:2" x14ac:dyDescent="0.2">
      <c r="B31" s="7"/>
    </row>
    <row r="32" spans="2:2" x14ac:dyDescent="0.2">
      <c r="B32" s="7"/>
    </row>
    <row r="33" spans="2:2" x14ac:dyDescent="0.2">
      <c r="B33" s="7"/>
    </row>
    <row r="34" spans="2:2" x14ac:dyDescent="0.2">
      <c r="B34" s="7"/>
    </row>
  </sheetData>
  <sortState xmlns:xlrd2="http://schemas.microsoft.com/office/spreadsheetml/2017/richdata2" ref="B2:C15">
    <sortCondition ref="C2:C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2680-0292-8749-A3E0-59E6D45F805A}">
  <dimension ref="A1:D14"/>
  <sheetViews>
    <sheetView workbookViewId="0">
      <selection activeCell="B18" sqref="B18"/>
    </sheetView>
  </sheetViews>
  <sheetFormatPr baseColWidth="10" defaultRowHeight="16" x14ac:dyDescent="0.2"/>
  <cols>
    <col min="2" max="2" width="72.5" customWidth="1"/>
  </cols>
  <sheetData>
    <row r="1" spans="1:4" x14ac:dyDescent="0.2">
      <c r="B1" t="s">
        <v>30</v>
      </c>
      <c r="C1" t="s">
        <v>0</v>
      </c>
      <c r="D1" t="s">
        <v>31</v>
      </c>
    </row>
    <row r="2" spans="1:4" x14ac:dyDescent="0.2">
      <c r="A2">
        <v>1</v>
      </c>
      <c r="B2" s="7" t="s">
        <v>45</v>
      </c>
      <c r="C2">
        <v>1458209</v>
      </c>
    </row>
    <row r="3" spans="1:4" x14ac:dyDescent="0.2">
      <c r="A3">
        <v>2</v>
      </c>
      <c r="B3" t="s">
        <v>36</v>
      </c>
      <c r="C3">
        <v>1458210</v>
      </c>
      <c r="D3">
        <f t="shared" ref="D3:D14" si="0">C3-$C$2</f>
        <v>1</v>
      </c>
    </row>
    <row r="4" spans="1:4" x14ac:dyDescent="0.2">
      <c r="A4">
        <v>3</v>
      </c>
      <c r="B4" t="s">
        <v>46</v>
      </c>
      <c r="C4">
        <v>1458291</v>
      </c>
      <c r="D4">
        <f t="shared" si="0"/>
        <v>82</v>
      </c>
    </row>
    <row r="5" spans="1:4" x14ac:dyDescent="0.2">
      <c r="A5">
        <v>4</v>
      </c>
      <c r="B5" t="s">
        <v>53</v>
      </c>
      <c r="C5">
        <v>1458292</v>
      </c>
      <c r="D5">
        <f t="shared" si="0"/>
        <v>83</v>
      </c>
    </row>
    <row r="6" spans="1:4" x14ac:dyDescent="0.2">
      <c r="A6">
        <v>5</v>
      </c>
      <c r="B6" s="7" t="s">
        <v>47</v>
      </c>
      <c r="C6">
        <v>1458371</v>
      </c>
      <c r="D6">
        <f t="shared" si="0"/>
        <v>162</v>
      </c>
    </row>
    <row r="7" spans="1:4" x14ac:dyDescent="0.2">
      <c r="A7">
        <v>6</v>
      </c>
      <c r="B7" t="s">
        <v>52</v>
      </c>
      <c r="C7">
        <v>1458375</v>
      </c>
      <c r="D7">
        <f t="shared" si="0"/>
        <v>166</v>
      </c>
    </row>
    <row r="8" spans="1:4" x14ac:dyDescent="0.2">
      <c r="A8">
        <v>7</v>
      </c>
      <c r="B8" s="7" t="s">
        <v>50</v>
      </c>
      <c r="C8">
        <v>1458487</v>
      </c>
      <c r="D8">
        <f t="shared" si="0"/>
        <v>278</v>
      </c>
    </row>
    <row r="9" spans="1:4" x14ac:dyDescent="0.2">
      <c r="A9">
        <v>8</v>
      </c>
      <c r="B9" t="s">
        <v>45</v>
      </c>
      <c r="C9">
        <v>1458706</v>
      </c>
      <c r="D9">
        <f t="shared" si="0"/>
        <v>497</v>
      </c>
    </row>
    <row r="10" spans="1:4" x14ac:dyDescent="0.2">
      <c r="A10">
        <v>9</v>
      </c>
      <c r="B10" t="s">
        <v>51</v>
      </c>
      <c r="C10">
        <v>1458738</v>
      </c>
      <c r="D10">
        <f t="shared" si="0"/>
        <v>529</v>
      </c>
    </row>
    <row r="11" spans="1:4" x14ac:dyDescent="0.2">
      <c r="A11">
        <v>10</v>
      </c>
      <c r="B11" s="7" t="s">
        <v>49</v>
      </c>
      <c r="C11">
        <v>1460892</v>
      </c>
      <c r="D11">
        <f t="shared" si="0"/>
        <v>2683</v>
      </c>
    </row>
    <row r="12" spans="1:4" x14ac:dyDescent="0.2">
      <c r="A12">
        <v>11</v>
      </c>
      <c r="B12" t="s">
        <v>44</v>
      </c>
      <c r="C12">
        <v>1460894</v>
      </c>
      <c r="D12">
        <f t="shared" si="0"/>
        <v>2685</v>
      </c>
    </row>
    <row r="13" spans="1:4" x14ac:dyDescent="0.2">
      <c r="A13">
        <v>12</v>
      </c>
      <c r="B13" s="7" t="s">
        <v>48</v>
      </c>
      <c r="C13">
        <v>1483227</v>
      </c>
      <c r="D13">
        <f t="shared" si="0"/>
        <v>25018</v>
      </c>
    </row>
    <row r="14" spans="1:4" x14ac:dyDescent="0.2">
      <c r="A14">
        <v>13</v>
      </c>
      <c r="B14" t="s">
        <v>43</v>
      </c>
      <c r="C14">
        <v>1483228</v>
      </c>
      <c r="D14">
        <f t="shared" si="0"/>
        <v>25019</v>
      </c>
    </row>
  </sheetData>
  <sortState xmlns:xlrd2="http://schemas.microsoft.com/office/spreadsheetml/2017/richdata2" ref="B2:C14">
    <sortCondition ref="C2:C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305E-7F56-884B-A433-D50EECD156B9}">
  <dimension ref="A1:R31"/>
  <sheetViews>
    <sheetView tabSelected="1" workbookViewId="0">
      <selection activeCell="J2" sqref="J2"/>
    </sheetView>
  </sheetViews>
  <sheetFormatPr baseColWidth="10" defaultRowHeight="16" x14ac:dyDescent="0.2"/>
  <sheetData>
    <row r="1" spans="1:18" x14ac:dyDescent="0.2">
      <c r="A1" t="s">
        <v>76</v>
      </c>
    </row>
    <row r="2" spans="1:18" x14ac:dyDescent="0.2">
      <c r="A2" t="s">
        <v>54</v>
      </c>
      <c r="J2" t="s">
        <v>93</v>
      </c>
    </row>
    <row r="3" spans="1:18" x14ac:dyDescent="0.2">
      <c r="A3" t="s">
        <v>55</v>
      </c>
      <c r="K3" t="s">
        <v>75</v>
      </c>
      <c r="L3" s="9">
        <v>1</v>
      </c>
      <c r="M3" s="9">
        <v>2</v>
      </c>
      <c r="N3" s="9">
        <v>3</v>
      </c>
      <c r="O3" s="9">
        <v>4</v>
      </c>
      <c r="P3" s="8" t="s">
        <v>78</v>
      </c>
      <c r="Q3" t="s">
        <v>86</v>
      </c>
    </row>
    <row r="4" spans="1:18" x14ac:dyDescent="0.2">
      <c r="A4" t="s">
        <v>56</v>
      </c>
      <c r="K4" t="s">
        <v>79</v>
      </c>
      <c r="L4">
        <v>0</v>
      </c>
      <c r="M4" s="9">
        <v>1</v>
      </c>
      <c r="N4" s="9">
        <v>2</v>
      </c>
      <c r="O4" s="9">
        <v>3</v>
      </c>
      <c r="P4" s="9">
        <v>4</v>
      </c>
      <c r="Q4" s="8" t="s">
        <v>78</v>
      </c>
      <c r="R4" t="s">
        <v>77</v>
      </c>
    </row>
    <row r="5" spans="1:18" x14ac:dyDescent="0.2">
      <c r="A5" t="s">
        <v>57</v>
      </c>
      <c r="K5" t="s">
        <v>80</v>
      </c>
      <c r="L5">
        <v>0</v>
      </c>
      <c r="M5" s="9">
        <v>1</v>
      </c>
      <c r="N5" s="9">
        <v>2</v>
      </c>
      <c r="O5" s="9">
        <v>3</v>
      </c>
      <c r="P5" s="9">
        <v>4</v>
      </c>
      <c r="Q5" s="8" t="s">
        <v>78</v>
      </c>
      <c r="R5" t="s">
        <v>77</v>
      </c>
    </row>
    <row r="6" spans="1:18" x14ac:dyDescent="0.2">
      <c r="A6" t="s">
        <v>58</v>
      </c>
      <c r="K6" t="s">
        <v>87</v>
      </c>
      <c r="L6">
        <v>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8" x14ac:dyDescent="0.2">
      <c r="A7" t="s">
        <v>59</v>
      </c>
      <c r="K7" t="s">
        <v>88</v>
      </c>
      <c r="L7">
        <v>0</v>
      </c>
      <c r="M7">
        <v>1</v>
      </c>
      <c r="N7">
        <v>2</v>
      </c>
      <c r="O7" s="8" t="s">
        <v>90</v>
      </c>
      <c r="P7" s="8" t="s">
        <v>91</v>
      </c>
      <c r="Q7" s="10" t="s">
        <v>92</v>
      </c>
      <c r="R7" t="s">
        <v>89</v>
      </c>
    </row>
    <row r="8" spans="1:18" x14ac:dyDescent="0.2">
      <c r="A8" t="s">
        <v>60</v>
      </c>
    </row>
    <row r="9" spans="1:18" x14ac:dyDescent="0.2">
      <c r="A9" t="s">
        <v>61</v>
      </c>
    </row>
    <row r="10" spans="1:18" x14ac:dyDescent="0.2">
      <c r="A10" t="s">
        <v>62</v>
      </c>
    </row>
    <row r="18" spans="1:1" x14ac:dyDescent="0.2">
      <c r="A18" t="s">
        <v>63</v>
      </c>
    </row>
    <row r="19" spans="1:1" x14ac:dyDescent="0.2">
      <c r="A19" t="s">
        <v>64</v>
      </c>
    </row>
    <row r="20" spans="1:1" x14ac:dyDescent="0.2">
      <c r="A20" t="s">
        <v>65</v>
      </c>
    </row>
    <row r="21" spans="1:1" x14ac:dyDescent="0.2">
      <c r="A21" t="s">
        <v>66</v>
      </c>
    </row>
    <row r="22" spans="1:1" x14ac:dyDescent="0.2">
      <c r="A22" t="s">
        <v>67</v>
      </c>
    </row>
    <row r="23" spans="1:1" x14ac:dyDescent="0.2">
      <c r="A23" t="s">
        <v>68</v>
      </c>
    </row>
    <row r="24" spans="1:1" x14ac:dyDescent="0.2">
      <c r="A24" t="s">
        <v>69</v>
      </c>
    </row>
    <row r="25" spans="1:1" x14ac:dyDescent="0.2">
      <c r="A25" t="s">
        <v>70</v>
      </c>
    </row>
    <row r="26" spans="1:1" x14ac:dyDescent="0.2">
      <c r="A26" t="s">
        <v>68</v>
      </c>
    </row>
    <row r="27" spans="1:1" x14ac:dyDescent="0.2">
      <c r="A27" t="s">
        <v>71</v>
      </c>
    </row>
    <row r="28" spans="1:1" x14ac:dyDescent="0.2">
      <c r="A28" t="s">
        <v>72</v>
      </c>
    </row>
    <row r="29" spans="1:1" x14ac:dyDescent="0.2">
      <c r="A29" t="s">
        <v>65</v>
      </c>
    </row>
    <row r="30" spans="1:1" x14ac:dyDescent="0.2">
      <c r="A30" t="s">
        <v>73</v>
      </c>
    </row>
    <row r="31" spans="1:1" x14ac:dyDescent="0.2">
      <c r="A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drops</vt:lpstr>
      <vt:lpstr>table manual drops</vt:lpstr>
      <vt:lpstr>table drop1s</vt:lpstr>
      <vt:lpstr>table var bins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2014197379</dc:creator>
  <cp:lastModifiedBy>2014197379</cp:lastModifiedBy>
  <dcterms:created xsi:type="dcterms:W3CDTF">2025-06-03T10:03:48Z</dcterms:created>
  <dcterms:modified xsi:type="dcterms:W3CDTF">2025-07-01T16:02:55Z</dcterms:modified>
</cp:coreProperties>
</file>